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bserved_Fact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What_Must_Be_Tr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1" fillId="5" borderId="0" pivotButton="0" quotePrefix="0" xfId="0"/>
    <xf numFmtId="3" fontId="0" fillId="2" borderId="0" pivotButton="0" quotePrefix="0" xfId="0"/>
    <xf numFmtId="3" fontId="0" fillId="3" borderId="1" pivotButton="0" quotePrefix="0" xfId="0"/>
    <xf numFmtId="0" fontId="0" fillId="0" borderId="0" applyAlignment="1" pivotButton="0" quotePrefix="0" xfId="0">
      <alignment vertical="top" wrapText="1"/>
    </xf>
    <xf numFmtId="164" fontId="0" fillId="3" borderId="1" pivotButton="0" quotePrefix="0" xfId="0"/>
    <xf numFmtId="3" fontId="0" fillId="2" borderId="1" pivotButton="0" quotePrefix="0" xfId="0"/>
    <xf numFmtId="3" fontId="0" fillId="0" borderId="0" pivotButton="0" quotePrefix="0" xfId="0"/>
    <xf numFmtId="3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ARMADA Marine Robotics — Forward Requirements / Scenario Model</t>
        </is>
      </c>
    </row>
    <row r="2">
      <c r="A2" t="inlineStr"/>
    </row>
    <row r="3">
      <c r="A3" s="1" t="inlineStr">
        <is>
          <t>WHAT THIS IS</t>
        </is>
      </c>
    </row>
    <row r="4">
      <c r="A4" t="inlineStr">
        <is>
          <t>A requirements model, not a projection. ARMADA has no publicly known revenue,</t>
        </is>
      </c>
    </row>
    <row r="5">
      <c r="A5" t="inlineStr">
        <is>
          <t>so none is invented and no revenue history is shown. The model asks:</t>
        </is>
      </c>
    </row>
    <row r="6">
      <c r="A6" t="inlineStr">
        <is>
          <t xml:space="preserve">   1. What commercial scale would ARMADA need for a venture-scale outcome?</t>
        </is>
      </c>
    </row>
    <row r="7">
      <c r="A7" t="inlineStr">
        <is>
          <t xml:space="preserve">   2. What unit economics would make that plausible?</t>
        </is>
      </c>
    </row>
    <row r="8">
      <c r="A8" t="inlineStr"/>
    </row>
    <row r="9">
      <c r="A9" s="1" t="inlineStr">
        <is>
          <t>WHAT THIS IS NOT</t>
        </is>
      </c>
    </row>
    <row r="10">
      <c r="A10" t="inlineStr">
        <is>
          <t>Not a valuation. Not a forecast. Not an investment recommendation.</t>
        </is>
      </c>
    </row>
    <row r="11">
      <c r="A11" t="inlineStr">
        <is>
          <t>Government SBIR/contract obligations are NOT treated as product revenue.</t>
        </is>
      </c>
    </row>
    <row r="12">
      <c r="A12" t="inlineStr"/>
    </row>
    <row r="13">
      <c r="A13" s="1" t="inlineStr">
        <is>
          <t>COLOUR KEY</t>
        </is>
      </c>
    </row>
    <row r="14">
      <c r="A14" t="inlineStr">
        <is>
          <t xml:space="preserve">  Green  = OBSERVED, traceable to a cited public source</t>
        </is>
      </c>
      <c r="B14" s="2" t="n"/>
    </row>
    <row r="15">
      <c r="A15" t="inlineStr">
        <is>
          <t xml:space="preserve">  Amber  = ANALYST ASSUMPTION, not sourced. Change these.</t>
        </is>
      </c>
      <c r="B15" s="3" t="n"/>
    </row>
    <row r="16">
      <c r="A16" t="inlineStr"/>
    </row>
    <row r="17">
      <c r="A17" t="inlineStr">
        <is>
          <t>All outputs are live Excel formulas referencing the Assumptions sheet.</t>
        </is>
      </c>
    </row>
    <row r="18">
      <c r="A18" t="inlineStr">
        <is>
          <t>Regenerate with: python3 src/ofr/models/armada_underwriting.py</t>
        </is>
      </c>
    </row>
    <row r="19">
      <c r="A19" t="inlineStr">
        <is>
          <t>Generated 2026-08-21 from public sources accessed 2026-08-21.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74" customWidth="1" min="3" max="3"/>
  </cols>
  <sheetData>
    <row r="1">
      <c r="A1" s="4" t="inlineStr">
        <is>
          <t>OBSERVED FACTS — every value traceable to a public source</t>
        </is>
      </c>
      <c r="B1" s="5" t="n"/>
      <c r="C1" s="5" t="n"/>
      <c r="D1" s="5" t="n"/>
    </row>
    <row r="2">
      <c r="A2" s="6" t="inlineStr">
        <is>
          <t>Fact</t>
        </is>
      </c>
      <c r="B2" s="6" t="inlineStr">
        <is>
          <t>Value</t>
        </is>
      </c>
      <c r="C2" s="6" t="inlineStr">
        <is>
          <t>Source / basis</t>
        </is>
      </c>
    </row>
    <row r="3">
      <c r="A3" t="inlineStr">
        <is>
          <t>Total verified federal awards</t>
        </is>
      </c>
      <c r="B3" s="7" t="n">
        <v>2972287</v>
      </c>
      <c r="C3" t="inlineStr">
        <is>
          <t>USAspending + SBIR bulk, 6 distinct awards</t>
        </is>
      </c>
    </row>
    <row r="4">
      <c r="A4" t="inlineStr">
        <is>
          <t>Navy Phase II obligated (N68335-23-C-0142)</t>
        </is>
      </c>
      <c r="B4" s="7" t="n">
        <v>1998926</v>
      </c>
      <c r="C4" t="inlineStr">
        <is>
          <t>base $999,028 + option $499,949 + CLIN0004 $499,949</t>
        </is>
      </c>
    </row>
    <row r="5">
      <c r="A5" t="inlineStr">
        <is>
          <t>Most recent obligation</t>
        </is>
      </c>
      <c r="B5" s="7" t="n">
        <v>499949</v>
      </c>
      <c r="C5" t="inlineStr">
        <is>
          <t>Mod P00003, 2026-03-10, incrementally funding CLIN 0004</t>
        </is>
      </c>
    </row>
    <row r="6">
      <c r="A6" t="inlineStr">
        <is>
          <t>Narrow addressable procurement observed (13 yrs)</t>
        </is>
      </c>
      <c r="B6" s="7" t="n">
        <v>10740202</v>
      </c>
      <c r="C6" t="inlineStr">
        <is>
          <t>components/spares + payload deployment</t>
        </is>
      </c>
    </row>
    <row r="7">
      <c r="A7" t="inlineStr">
        <is>
          <t>Narrow addressable, annualised</t>
        </is>
      </c>
      <c r="B7" s="7" t="n">
        <v>826169</v>
      </c>
      <c r="C7" t="inlineStr">
        <is>
          <t>the same figure divided by the 13-year span</t>
        </is>
      </c>
    </row>
    <row r="8">
      <c r="A8" t="inlineStr">
        <is>
          <t>Broad adjacency procurement, annualised</t>
        </is>
      </c>
      <c r="B8" s="7" t="n">
        <v>6272080</v>
      </c>
      <c r="C8" t="inlineStr">
        <is>
          <t>incl. platforms, sensor payloads, launch &amp; recovery</t>
        </is>
      </c>
    </row>
    <row r="9">
      <c r="A9" t="inlineStr">
        <is>
          <t>Publicly identified employees</t>
        </is>
      </c>
      <c r="B9" s="7" t="n">
        <v>3</v>
      </c>
      <c r="C9" t="inlineStr">
        <is>
          <t>armadamarinerobotics.com/team</t>
        </is>
      </c>
    </row>
    <row r="10">
      <c r="A10" t="inlineStr">
        <is>
          <t>Known commercial revenue</t>
        </is>
      </c>
      <c r="B10" s="7" t="n">
        <v>0</v>
      </c>
      <c r="C10" t="inlineStr">
        <is>
          <t>no commercial sale evidenced in any public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8" customWidth="1" min="5" max="5"/>
    <col width="82" customWidth="1" min="6" max="6"/>
  </cols>
  <sheetData>
    <row r="1">
      <c r="A1" s="4" t="inlineStr">
        <is>
          <t>ASSUMPTIONS — amber cells are ANALYST INPUTS, not sourced facts</t>
        </is>
      </c>
      <c r="B1" s="5" t="n"/>
      <c r="C1" s="5" t="n"/>
      <c r="D1" s="5" t="n"/>
      <c r="E1" s="5" t="n"/>
      <c r="F1" s="5" t="n"/>
    </row>
    <row r="2">
      <c r="A2" s="6" t="inlineStr">
        <is>
          <t>Driver</t>
        </is>
      </c>
      <c r="B2" s="6" t="inlineStr">
        <is>
          <t>Bear</t>
        </is>
      </c>
      <c r="C2" s="6" t="inlineStr">
        <is>
          <t>Base</t>
        </is>
      </c>
      <c r="D2" s="6" t="inlineStr">
        <is>
          <t>Bull</t>
        </is>
      </c>
      <c r="E2" s="6" t="inlineStr">
        <is>
          <t>Type</t>
        </is>
      </c>
      <c r="F2" s="6" t="inlineStr">
        <is>
          <t>Note</t>
        </is>
      </c>
    </row>
    <row r="3">
      <c r="A3" t="inlineStr">
        <is>
          <t>EPADS pod ASP ($)</t>
        </is>
      </c>
      <c r="B3" s="8" t="n">
        <v>12000</v>
      </c>
      <c r="C3" s="8" t="n">
        <v>25000</v>
      </c>
      <c r="D3" s="8" t="n">
        <v>45000</v>
      </c>
      <c r="E3" t="inlineStr">
        <is>
          <t>ASSUMPTION</t>
        </is>
      </c>
      <c r="F3" s="9" t="inlineStr">
        <is>
          <t>No public price exists. Anchored on the $5kg A-size module form factor and defence subsystem norms. The single most sensitive input.</t>
        </is>
      </c>
    </row>
    <row r="4">
      <c r="A4" t="inlineStr">
        <is>
          <t>EPADS pods sold per year (steady state)</t>
        </is>
      </c>
      <c r="B4" s="8" t="n">
        <v>150</v>
      </c>
      <c r="C4" s="8" t="n">
        <v>600</v>
      </c>
      <c r="D4" s="8" t="n">
        <v>2500</v>
      </c>
      <c r="E4" t="inlineStr">
        <is>
          <t>ASSUMPTION</t>
        </is>
      </c>
      <c r="F4" s="9" t="inlineStr">
        <is>
          <t>Pods are consumed per deployment if left on the seafloor with the payload. Volume is the core uncertainty.</t>
        </is>
      </c>
    </row>
    <row r="5">
      <c r="A5" t="inlineStr">
        <is>
          <t>EPADS gross margin</t>
        </is>
      </c>
      <c r="B5" s="10" t="n">
        <v>0.35</v>
      </c>
      <c r="C5" s="10" t="n">
        <v>0.5</v>
      </c>
      <c r="D5" s="10" t="n">
        <v>0.6</v>
      </c>
      <c r="E5" t="inlineStr">
        <is>
          <t>ASSUMPTION</t>
        </is>
      </c>
      <c r="F5" s="9" t="inlineStr">
        <is>
          <t>Hardware consumable; margin depends on contract manufacturing.</t>
        </is>
      </c>
    </row>
    <row r="6">
      <c r="A6" t="inlineStr">
        <is>
          <t>Propulsion module ASP ($)</t>
        </is>
      </c>
      <c r="B6" s="8" t="n">
        <v>20000</v>
      </c>
      <c r="C6" s="8" t="n">
        <v>40000</v>
      </c>
      <c r="D6" s="8" t="n">
        <v>70000</v>
      </c>
      <c r="E6" t="inlineStr">
        <is>
          <t>ASSUMPTION</t>
        </is>
      </c>
      <c r="F6" s="9" t="inlineStr">
        <is>
          <t>Durable subsystem, one per vehicle.</t>
        </is>
      </c>
    </row>
    <row r="7">
      <c r="A7" t="inlineStr">
        <is>
          <t>Propulsion modules per year</t>
        </is>
      </c>
      <c r="B7" s="8" t="n">
        <v>20</v>
      </c>
      <c r="C7" s="8" t="n">
        <v>120</v>
      </c>
      <c r="D7" s="8" t="n">
        <v>500</v>
      </c>
      <c r="E7" t="inlineStr">
        <is>
          <t>ASSUMPTION</t>
        </is>
      </c>
      <c r="F7" s="9" t="inlineStr">
        <is>
          <t>Requires an OEM design-in. Zero such relationship is public today.</t>
        </is>
      </c>
    </row>
    <row r="8">
      <c r="A8" t="inlineStr">
        <is>
          <t>Propulsion gross margin</t>
        </is>
      </c>
      <c r="B8" s="10" t="n">
        <v>0.4</v>
      </c>
      <c r="C8" s="10" t="n">
        <v>0.55</v>
      </c>
      <c r="D8" s="10" t="n">
        <v>0.65</v>
      </c>
      <c r="E8" t="inlineStr">
        <is>
          <t>ASSUMPTION</t>
        </is>
      </c>
      <c r="F8" s="9" t="inlineStr">
        <is>
          <t>Higher than pods; lower volume.</t>
        </is>
      </c>
    </row>
    <row r="9">
      <c r="A9" t="inlineStr">
        <is>
          <t>Engineering / R&amp;D contract revenue ($/yr)</t>
        </is>
      </c>
      <c r="B9" s="11" t="n">
        <v>1500000</v>
      </c>
      <c r="C9" s="11" t="n">
        <v>2000000</v>
      </c>
      <c r="D9" s="11" t="n">
        <v>2500000</v>
      </c>
      <c r="E9" t="inlineStr">
        <is>
          <t>OBSERVED-anchored</t>
        </is>
      </c>
      <c r="F9" s="9" t="inlineStr">
        <is>
          <t>Anchored on observed run-rate: $2,972,287 of federal awards over ~5 years, with $499,949 obligated in Mar 2026.</t>
        </is>
      </c>
    </row>
    <row r="10">
      <c r="A10" t="inlineStr">
        <is>
          <t>Engineering gross margin</t>
        </is>
      </c>
      <c r="B10" s="10" t="n">
        <v>0.15</v>
      </c>
      <c r="C10" s="10" t="n">
        <v>0.25</v>
      </c>
      <c r="D10" s="10" t="n">
        <v>0.35</v>
      </c>
      <c r="E10" t="inlineStr">
        <is>
          <t>ASSUMPTION</t>
        </is>
      </c>
      <c r="F10" s="9" t="inlineStr">
        <is>
          <t>Cost-plus style R&amp;D work carries thin margin.</t>
        </is>
      </c>
    </row>
    <row r="11">
      <c r="A11" t="inlineStr">
        <is>
          <t>Support / service revenue ($/yr)</t>
        </is>
      </c>
      <c r="B11" s="8" t="n">
        <v>0</v>
      </c>
      <c r="C11" s="8" t="n">
        <v>250000</v>
      </c>
      <c r="D11" s="8" t="n">
        <v>900000</v>
      </c>
      <c r="E11" t="inlineStr">
        <is>
          <t>ASSUMPTION</t>
        </is>
      </c>
      <c r="F11" s="9" t="inlineStr">
        <is>
          <t>Speculative; no evidence of a service line today.</t>
        </is>
      </c>
    </row>
    <row r="12">
      <c r="A12" t="inlineStr">
        <is>
          <t>Headcount at steady state</t>
        </is>
      </c>
      <c r="B12" s="8" t="n">
        <v>12</v>
      </c>
      <c r="C12" s="8" t="n">
        <v>25</v>
      </c>
      <c r="D12" s="8" t="n">
        <v>45</v>
      </c>
      <c r="E12" t="inlineStr">
        <is>
          <t>ASSUMPTION</t>
        </is>
      </c>
      <c r="F12" s="9" t="inlineStr">
        <is>
          <t>Three people are publicly identified today.</t>
        </is>
      </c>
    </row>
    <row r="13">
      <c r="A13" t="inlineStr">
        <is>
          <t>Fully loaded cost per head ($)</t>
        </is>
      </c>
      <c r="B13" s="8" t="n">
        <v>190000</v>
      </c>
      <c r="C13" s="8" t="n">
        <v>210000</v>
      </c>
      <c r="D13" s="8" t="n">
        <v>230000</v>
      </c>
      <c r="E13" t="inlineStr">
        <is>
          <t>ASSUMPTION</t>
        </is>
      </c>
      <c r="F13" s="9" t="inlineStr">
        <is>
          <t>Massachusetts marine/defence engineering.</t>
        </is>
      </c>
    </row>
    <row r="14">
      <c r="A14" t="inlineStr">
        <is>
          <t>Non-headcount opex ($/yr)</t>
        </is>
      </c>
      <c r="B14" s="8" t="n">
        <v>400000</v>
      </c>
      <c r="C14" s="8" t="n">
        <v>700000</v>
      </c>
      <c r="D14" s="8" t="n">
        <v>1200000</v>
      </c>
      <c r="E14" t="inlineStr">
        <is>
          <t>ASSUMPTION</t>
        </is>
      </c>
      <c r="F14" s="9" t="inlineStr">
        <is>
          <t>Facilities, test time, vessel time, certification, IP.</t>
        </is>
      </c>
    </row>
    <row r="15">
      <c r="A15" t="inlineStr">
        <is>
          <t>Years to steady state</t>
        </is>
      </c>
      <c r="B15" s="8" t="n">
        <v>7</v>
      </c>
      <c r="C15" s="8" t="n">
        <v>5</v>
      </c>
      <c r="D15" s="8" t="n">
        <v>4</v>
      </c>
      <c r="E15" t="inlineStr">
        <is>
          <t>ASSUMPTION</t>
        </is>
      </c>
      <c r="F15" s="9" t="inlineStr">
        <is>
          <t>Defence qualification cycles are long.</t>
        </is>
      </c>
    </row>
    <row r="16">
      <c r="A16" t="inlineStr">
        <is>
          <t>Venture-scale revenue threshold ($)</t>
        </is>
      </c>
      <c r="B16" s="8" t="n">
        <v>30000000</v>
      </c>
      <c r="C16" s="8" t="n">
        <v>30000000</v>
      </c>
      <c r="D16" s="8" t="n">
        <v>30000000</v>
      </c>
      <c r="E16" t="inlineStr">
        <is>
          <t>ASSUMPTION</t>
        </is>
      </c>
      <c r="F16" s="9" t="inlineStr">
        <is>
          <t>A common proxy for a company capable of returning a small early-stage fund.</t>
        </is>
      </c>
    </row>
    <row r="17">
      <c r="A17" t="inlineStr">
        <is>
          <t>Exit revenue multiple (x)</t>
        </is>
      </c>
      <c r="B17" s="8" t="n">
        <v>3</v>
      </c>
      <c r="C17" s="8" t="n">
        <v>5</v>
      </c>
      <c r="D17" s="8" t="n">
        <v>8</v>
      </c>
      <c r="E17" t="inlineStr">
        <is>
          <t>ASSUMPTION</t>
        </is>
      </c>
      <c r="F17" s="9" t="inlineStr">
        <is>
          <t>Defence-adjacent hardware trades below software multiples.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SCENARIO OUTPUTS — live formulas referencing 'Assumptions'</t>
        </is>
      </c>
      <c r="B1" s="5" t="n"/>
      <c r="C1" s="5" t="n"/>
      <c r="D1" s="5" t="n"/>
    </row>
    <row r="2">
      <c r="A2" s="1" t="inlineStr">
        <is>
          <t>Steady-state revenue build</t>
        </is>
      </c>
      <c r="B2" s="6" t="inlineStr">
        <is>
          <t>Bear</t>
        </is>
      </c>
      <c r="C2" s="6" t="inlineStr">
        <is>
          <t>Base</t>
        </is>
      </c>
      <c r="D2" s="6" t="inlineStr">
        <is>
          <t>Bull</t>
        </is>
      </c>
    </row>
    <row r="3">
      <c r="A3" t="inlineStr">
        <is>
          <t>EPADS revenue</t>
        </is>
      </c>
      <c r="B3" s="12">
        <f>Assumptions!B3*Assumptions!B4</f>
        <v/>
      </c>
      <c r="C3" s="12">
        <f>Assumptions!C3*Assumptions!C4</f>
        <v/>
      </c>
      <c r="D3" s="12">
        <f>Assumptions!D3*Assumptions!D4</f>
        <v/>
      </c>
    </row>
    <row r="4">
      <c r="A4" t="inlineStr">
        <is>
          <t>Propulsion revenue</t>
        </is>
      </c>
      <c r="B4" s="12">
        <f>Assumptions!B6*Assumptions!B7</f>
        <v/>
      </c>
      <c r="C4" s="12">
        <f>Assumptions!C6*Assumptions!C7</f>
        <v/>
      </c>
      <c r="D4" s="12">
        <f>Assumptions!D6*Assumptions!D7</f>
        <v/>
      </c>
    </row>
    <row r="5">
      <c r="A5" t="inlineStr">
        <is>
          <t>Engineering revenue</t>
        </is>
      </c>
      <c r="B5" s="12">
        <f>Assumptions!B9</f>
        <v/>
      </c>
      <c r="C5" s="12">
        <f>Assumptions!C9</f>
        <v/>
      </c>
      <c r="D5" s="12">
        <f>Assumptions!D9</f>
        <v/>
      </c>
    </row>
    <row r="6">
      <c r="A6" t="inlineStr">
        <is>
          <t>Support revenue</t>
        </is>
      </c>
      <c r="B6" s="12">
        <f>Assumptions!B11</f>
        <v/>
      </c>
      <c r="C6" s="12">
        <f>Assumptions!C11</f>
        <v/>
      </c>
      <c r="D6" s="12">
        <f>Assumptions!D11</f>
        <v/>
      </c>
    </row>
    <row r="7">
      <c r="A7" s="1" t="inlineStr">
        <is>
          <t>Total revenue</t>
        </is>
      </c>
      <c r="B7" s="13">
        <f>SUM(B3:B6)</f>
        <v/>
      </c>
      <c r="C7" s="13">
        <f>SUM(C3:C6)</f>
        <v/>
      </c>
      <c r="D7" s="13">
        <f>SUM(D3:D6)</f>
        <v/>
      </c>
    </row>
    <row r="9">
      <c r="A9" s="1" t="inlineStr">
        <is>
          <t>Gross profit</t>
        </is>
      </c>
      <c r="B9" s="13">
        <f>B3*Assumptions!B5+B4*Assumptions!B8+B5*Assumptions!B10</f>
        <v/>
      </c>
      <c r="C9" s="13">
        <f>C3*Assumptions!C5+C4*Assumptions!C8+C5*Assumptions!C10</f>
        <v/>
      </c>
      <c r="D9" s="13">
        <f>D3*Assumptions!D5+D4*Assumptions!D8+D5*Assumptions!D10</f>
        <v/>
      </c>
    </row>
    <row r="10">
      <c r="A10" t="inlineStr">
        <is>
          <t>Operating cost</t>
        </is>
      </c>
      <c r="B10" s="12">
        <f>Assumptions!B12*Assumptions!B13+Assumptions!B14</f>
        <v/>
      </c>
      <c r="C10" s="12">
        <f>Assumptions!C12*Assumptions!C13+Assumptions!C14</f>
        <v/>
      </c>
      <c r="D10" s="12">
        <f>Assumptions!D12*Assumptions!D13+Assumptions!D14</f>
        <v/>
      </c>
    </row>
    <row r="11">
      <c r="A11" s="1" t="inlineStr">
        <is>
          <t>Operating profit</t>
        </is>
      </c>
      <c r="B11" s="13">
        <f>B9-B10</f>
        <v/>
      </c>
      <c r="C11" s="13">
        <f>C9-C10</f>
        <v/>
      </c>
      <c r="D11" s="13">
        <f>D9-D10</f>
        <v/>
      </c>
    </row>
    <row r="13">
      <c r="A13" s="1" t="inlineStr">
        <is>
          <t>Venture-scale gap</t>
        </is>
      </c>
      <c r="B13" s="12">
        <f>Assumptions!B16-B7</f>
        <v/>
      </c>
      <c r="C13" s="12">
        <f>Assumptions!C16-C7</f>
        <v/>
      </c>
      <c r="D13" s="12">
        <f>Assumptions!D16-D7</f>
        <v/>
      </c>
    </row>
    <row r="14">
      <c r="A14" t="inlineStr">
        <is>
          <t>Reaches venture scale?</t>
        </is>
      </c>
      <c r="B14">
        <f>IF(B13&lt;=0,"YES","NO")</f>
        <v/>
      </c>
      <c r="C14">
        <f>IF(C13&lt;=0,"YES","NO")</f>
        <v/>
      </c>
      <c r="D14">
        <f>IF(D13&lt;=0,"YES","NO")</f>
        <v/>
      </c>
    </row>
    <row r="15">
      <c r="A15" t="inlineStr">
        <is>
          <t>EPADS pods/yr required to close gap alone</t>
        </is>
      </c>
      <c r="B15" s="12">
        <f>IF(B13&lt;=0,0,B13/Assumptions!B3)</f>
        <v/>
      </c>
      <c r="C15" s="12">
        <f>IF(C13&lt;=0,0,C13/Assumptions!C3)</f>
        <v/>
      </c>
      <c r="D15" s="12">
        <f>IF(D13&lt;=0,0,D13/Assumptions!D3)</f>
        <v/>
      </c>
    </row>
    <row r="16">
      <c r="A16" t="inlineStr">
        <is>
          <t>Implied exit value at revenue multiple</t>
        </is>
      </c>
      <c r="B16" s="12">
        <f>B7*Assumptions!B17</f>
        <v/>
      </c>
      <c r="C16" s="12">
        <f>C7*Assumptions!C17</f>
        <v/>
      </c>
      <c r="D16" s="12">
        <f>D7*Assumptions!D17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4" t="inlineStr">
        <is>
          <t>WHAT MUST BE TRUE FOR A VENTURE-SCALE OUTCOME</t>
        </is>
      </c>
      <c r="B1" s="5" t="n"/>
      <c r="C1" s="5" t="n"/>
    </row>
    <row r="3">
      <c r="A3" t="inlineStr">
        <is>
          <t>Revenue threshold used</t>
        </is>
      </c>
      <c r="B3" s="14">
        <f>Assumptions!C16</f>
        <v/>
      </c>
    </row>
    <row r="4">
      <c r="A4" t="inlineStr">
        <is>
          <t>Pods/yr at Base ASP to hit threshold on EPADS alone</t>
        </is>
      </c>
      <c r="B4" s="14">
        <f>Assumptions!C16/Assumptions!C3</f>
        <v/>
      </c>
    </row>
    <row r="5">
      <c r="A5" t="inlineStr">
        <is>
          <t>Propulsion modules/yr at Base ASP to hit threshold alone</t>
        </is>
      </c>
      <c r="B5" s="14">
        <f>Assumptions!C16/Assumptions!C6</f>
        <v/>
      </c>
    </row>
    <row r="6">
      <c r="A6" t="inlineStr">
        <is>
          <t>Observed narrow addressable procurement (annualised)</t>
        </is>
      </c>
      <c r="B6" s="14">
        <f>Observed_Facts!B7</f>
        <v/>
      </c>
    </row>
    <row r="7">
      <c r="A7" t="inlineStr">
        <is>
          <t>Threshold as a multiple of observed narrow addressable</t>
        </is>
      </c>
      <c r="B7" s="14">
        <f>Assumptions!C16/Observed_Facts!B7</f>
        <v/>
      </c>
    </row>
    <row r="8">
      <c r="A8" t="inlineStr">
        <is>
          <t>Observed broad adjacency (annualised)</t>
        </is>
      </c>
      <c r="B8" s="14">
        <f>Observed_Facts!B8</f>
        <v/>
      </c>
    </row>
    <row r="9">
      <c r="A9" t="inlineStr">
        <is>
          <t>Threshold as a multiple of observed broad adjacency</t>
        </is>
      </c>
      <c r="B9" s="14">
        <f>Assumptions!C16/Observed_Facts!B8</f>
        <v/>
      </c>
    </row>
    <row r="12">
      <c r="A12" s="9" t="inlineStr">
        <is>
          <t>READ THIS: if the threshold is a large multiple of observed addressable procurement, the venture case CANNOT rest on the federal market visible in our sample. It requires OEM channel, commercial/offshore buyers, allied export, or procurement not captured by our keywords.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2026-08-22T00:14:13Z</dcterms:created>
  <dcterms:modified xmlns:dcterms="http://purl.org/dc/terms/" xmlns:xsi="http://www.w3.org/2001/XMLSchema-instance" xsi:type="dcterms:W3CDTF">2026-08-22T00:14:13Z</dcterms:modified>
</cp:coreProperties>
</file>